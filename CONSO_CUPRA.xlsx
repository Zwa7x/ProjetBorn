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ocq\Desktop\PERSO\voitures\"/>
    </mc:Choice>
  </mc:AlternateContent>
  <xr:revisionPtr revIDLastSave="0" documentId="13_ncr:1_{D890AD27-027F-4F26-8EBF-AF530D61C153}" xr6:coauthVersionLast="47" xr6:coauthVersionMax="47" xr10:uidLastSave="{00000000-0000-0000-0000-000000000000}"/>
  <bookViews>
    <workbookView xWindow="-120" yWindow="-120" windowWidth="29040" windowHeight="15720" xr2:uid="{F4A8DD21-A813-4214-B73F-010B05EB8AEB}"/>
  </bookViews>
  <sheets>
    <sheet name="Feuil1" sheetId="1" r:id="rId1"/>
  </sheets>
  <definedNames>
    <definedName name="_xlnm._FilterDatabase" localSheetId="0" hidden="1">Feuil1!$A$1:$J$58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3" i="1" l="1"/>
  <c r="H53" i="1"/>
  <c r="H54" i="1"/>
  <c r="I54" i="1"/>
  <c r="H52" i="1"/>
  <c r="I52" i="1"/>
  <c r="H51" i="1"/>
  <c r="I51" i="1"/>
  <c r="H50" i="1"/>
  <c r="I50" i="1"/>
  <c r="H49" i="1"/>
  <c r="I49" i="1"/>
  <c r="H48" i="1"/>
  <c r="I48" i="1"/>
  <c r="H47" i="1"/>
  <c r="I47" i="1"/>
  <c r="H46" i="1"/>
  <c r="I46" i="1"/>
  <c r="H45" i="1"/>
  <c r="I45" i="1"/>
  <c r="H44" i="1"/>
  <c r="I44" i="1"/>
  <c r="H43" i="1"/>
  <c r="I43" i="1"/>
  <c r="H42" i="1"/>
  <c r="I42" i="1"/>
  <c r="H41" i="1"/>
  <c r="I41" i="1"/>
  <c r="H40" i="1"/>
  <c r="I40" i="1"/>
  <c r="H39" i="1"/>
  <c r="I39" i="1"/>
  <c r="H38" i="1"/>
  <c r="I38" i="1"/>
  <c r="H37" i="1"/>
  <c r="I37" i="1"/>
  <c r="H36" i="1"/>
  <c r="I36" i="1"/>
  <c r="H35" i="1"/>
  <c r="I35" i="1"/>
  <c r="I27" i="1"/>
  <c r="I29" i="1"/>
  <c r="I30" i="1"/>
  <c r="I31" i="1"/>
  <c r="I32" i="1"/>
  <c r="I33" i="1"/>
  <c r="I34" i="1"/>
  <c r="H29" i="1"/>
  <c r="H30" i="1"/>
  <c r="H31" i="1"/>
  <c r="H32" i="1"/>
  <c r="H33" i="1"/>
  <c r="H34" i="1"/>
  <c r="G27" i="1"/>
  <c r="H27" i="1" s="1"/>
  <c r="G28" i="1"/>
  <c r="H28" i="1" s="1"/>
  <c r="G26" i="1"/>
  <c r="H26" i="1" s="1"/>
  <c r="G25" i="1"/>
  <c r="H25" i="1" s="1"/>
  <c r="G24" i="1"/>
  <c r="H24" i="1" s="1"/>
  <c r="G23" i="1"/>
  <c r="H23" i="1" s="1"/>
  <c r="G22" i="1"/>
  <c r="H22" i="1" s="1"/>
  <c r="I15" i="1"/>
  <c r="I16" i="1"/>
  <c r="I17" i="1"/>
  <c r="I18" i="1"/>
  <c r="I20" i="1"/>
  <c r="I21" i="1"/>
  <c r="I19" i="1"/>
  <c r="I22" i="1"/>
  <c r="I23" i="1"/>
  <c r="I24" i="1"/>
  <c r="I25" i="1"/>
  <c r="I26" i="1"/>
  <c r="I28" i="1"/>
  <c r="H15" i="1"/>
  <c r="H16" i="1"/>
  <c r="H17" i="1"/>
  <c r="H18" i="1"/>
  <c r="H20" i="1"/>
  <c r="H21" i="1"/>
  <c r="H19" i="1"/>
  <c r="G58" i="1" l="1"/>
  <c r="F58" i="1"/>
  <c r="E58" i="1"/>
  <c r="I3" i="1"/>
  <c r="I4" i="1"/>
  <c r="I5" i="1"/>
  <c r="I6" i="1"/>
  <c r="I7" i="1"/>
  <c r="I2" i="1"/>
  <c r="H8" i="1"/>
  <c r="I8" i="1"/>
  <c r="H9" i="1"/>
  <c r="I9" i="1"/>
  <c r="H10" i="1"/>
  <c r="I10" i="1"/>
  <c r="H11" i="1"/>
  <c r="I11" i="1"/>
  <c r="H12" i="1"/>
  <c r="I12" i="1"/>
  <c r="H13" i="1"/>
  <c r="I13" i="1"/>
  <c r="H14" i="1"/>
  <c r="I14" i="1"/>
  <c r="H3" i="1"/>
  <c r="H4" i="1"/>
  <c r="H5" i="1"/>
  <c r="H6" i="1"/>
  <c r="H7" i="1"/>
  <c r="H2" i="1"/>
  <c r="H58" i="1" l="1"/>
  <c r="I58" i="1"/>
</calcChain>
</file>

<file path=xl/sharedStrings.xml><?xml version="1.0" encoding="utf-8"?>
<sst xmlns="http://schemas.openxmlformats.org/spreadsheetml/2006/main" count="130" uniqueCount="52">
  <si>
    <t>DATE</t>
  </si>
  <si>
    <t>KW</t>
  </si>
  <si>
    <t>€</t>
  </si>
  <si>
    <t>CARREFOUR</t>
  </si>
  <si>
    <t>AUTOROUTE</t>
  </si>
  <si>
    <t>120 kw</t>
  </si>
  <si>
    <t>lente</t>
  </si>
  <si>
    <t>Vitesse kw/min</t>
  </si>
  <si>
    <t>REIMS</t>
  </si>
  <si>
    <t>rapide</t>
  </si>
  <si>
    <t>LIEUX</t>
  </si>
  <si>
    <t>DEBIT</t>
  </si>
  <si>
    <t>Km au compteur</t>
  </si>
  <si>
    <t>PLANET AIRE</t>
  </si>
  <si>
    <t>50 kw</t>
  </si>
  <si>
    <t>WITTES</t>
  </si>
  <si>
    <t>20kw</t>
  </si>
  <si>
    <t>TEMPS en min</t>
  </si>
  <si>
    <t>CCV BRUAY</t>
  </si>
  <si>
    <t>FOUQUIERES LES B</t>
  </si>
  <si>
    <t>AUCHAN ST OMER</t>
  </si>
  <si>
    <t>CARREFOUR REIMS</t>
  </si>
  <si>
    <t>RELAIS REIMS</t>
  </si>
  <si>
    <t>BEGREEN</t>
  </si>
  <si>
    <t>MC DO BETHUNE</t>
  </si>
  <si>
    <t>AUTOROUTE URVILLIERS</t>
  </si>
  <si>
    <t>MC DO ST MARTIN AU LAERT</t>
  </si>
  <si>
    <t>CARREFOUR AIRE</t>
  </si>
  <si>
    <t>3BRASSEURS BRUAY</t>
  </si>
  <si>
    <t>CARREFOUR HAZEBROUCK</t>
  </si>
  <si>
    <t>PONTFAVERGER</t>
  </si>
  <si>
    <t>HDF</t>
  </si>
  <si>
    <t>GE</t>
  </si>
  <si>
    <t>REGION</t>
  </si>
  <si>
    <t>20 KW</t>
  </si>
  <si>
    <t>22 KW</t>
  </si>
  <si>
    <t>HAZEBROUCK</t>
  </si>
  <si>
    <t>CARREFOUR LILLERS</t>
  </si>
  <si>
    <t>150 Kw</t>
  </si>
  <si>
    <t>Prix du KwH</t>
  </si>
  <si>
    <t>CITE EUROPE</t>
  </si>
  <si>
    <t>LIDL CARVIN</t>
  </si>
  <si>
    <t>MC DO NOYELLES GODAULT</t>
  </si>
  <si>
    <t>CARREFOUR COQUELLES</t>
  </si>
  <si>
    <t>IONITY SECLIN</t>
  </si>
  <si>
    <t>HYPER U</t>
  </si>
  <si>
    <t>AUTOROUTE REIMS</t>
  </si>
  <si>
    <t>DS</t>
  </si>
  <si>
    <t>AUTOROUTE MEUNG SUR LOIRE</t>
  </si>
  <si>
    <t>AUTOROUTE SAINT CYR</t>
  </si>
  <si>
    <t>AUTOROUTE CHATELLEREAU</t>
  </si>
  <si>
    <t>AUTOROUTE LONGVILLIERS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</si>
</sst>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3" fontId="0" fillId="0" borderId="0" xfId="1" applyFont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3" fontId="0" fillId="3" borderId="3" xfId="1" applyFont="1" applyFill="1" applyBorder="1" applyAlignment="1">
      <alignment horizontal="center" vertical="center"/>
    </xf>
    <xf numFmtId="43" fontId="0" fillId="0" borderId="3" xfId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43" fontId="0" fillId="2" borderId="1" xfId="1" applyFont="1" applyFill="1" applyBorder="1" applyAlignment="1">
      <alignment horizontal="center" vertical="center"/>
    </xf>
    <xf numFmtId="43" fontId="0" fillId="2" borderId="3" xfId="1" applyFont="1" applyFill="1" applyBorder="1" applyAlignment="1">
      <alignment horizontal="center" vertical="center"/>
    </xf>
    <xf numFmtId="43" fontId="0" fillId="2" borderId="2" xfId="1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164" fontId="0" fillId="3" borderId="1" xfId="1" applyNumberFormat="1" applyFont="1" applyFill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164" fontId="0" fillId="0" borderId="3" xfId="1" applyNumberFormat="1" applyFont="1" applyBorder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5F25A-8661-4E6E-B62A-5B84C2FF51AB}">
  <dimension ref="A1:J58"/>
  <sheetViews>
    <sheetView tabSelected="1" workbookViewId="0">
      <pane ySplit="1" topLeftCell="A26" activePane="bottomLeft" state="frozen"/>
      <selection pane="bottomLeft" activeCell="Y37" sqref="Y37"/>
    </sheetView>
  </sheetViews>
  <sheetFormatPr baseColWidth="10" defaultRowHeight="15" x14ac:dyDescent="0.25"/>
  <cols>
    <col min="1" max="1" width="11.42578125" style="1"/>
    <col min="2" max="2" width="7.85546875" style="1" bestFit="1" customWidth="1"/>
    <col min="3" max="3" width="25.28515625" style="1" bestFit="1" customWidth="1"/>
    <col min="4" max="4" width="6.85546875" style="1" bestFit="1" customWidth="1"/>
    <col min="5" max="5" width="13.140625" style="1" bestFit="1" customWidth="1"/>
    <col min="6" max="7" width="11.42578125" style="1"/>
    <col min="8" max="8" width="17.28515625" style="5" bestFit="1" customWidth="1"/>
    <col min="9" max="9" width="18.85546875" style="1" bestFit="1" customWidth="1"/>
    <col min="10" max="10" width="15.42578125" style="19" bestFit="1" customWidth="1"/>
    <col min="11" max="16384" width="11.42578125" style="1"/>
  </cols>
  <sheetData>
    <row r="1" spans="1:10" ht="15.75" thickBot="1" x14ac:dyDescent="0.3">
      <c r="A1" s="4" t="s">
        <v>0</v>
      </c>
      <c r="B1" s="4" t="s">
        <v>33</v>
      </c>
      <c r="C1" s="4" t="s">
        <v>10</v>
      </c>
      <c r="D1" s="4" t="s">
        <v>11</v>
      </c>
      <c r="E1" s="4" t="s">
        <v>17</v>
      </c>
      <c r="F1" s="7" t="s">
        <v>1</v>
      </c>
      <c r="G1" s="15" t="s">
        <v>2</v>
      </c>
      <c r="H1" s="9" t="s">
        <v>39</v>
      </c>
      <c r="I1" s="4" t="s">
        <v>7</v>
      </c>
      <c r="J1" s="16" t="s">
        <v>12</v>
      </c>
    </row>
    <row r="2" spans="1:10" x14ac:dyDescent="0.25">
      <c r="A2" s="3">
        <v>45925</v>
      </c>
      <c r="B2" s="3" t="s">
        <v>31</v>
      </c>
      <c r="C2" s="3" t="s">
        <v>3</v>
      </c>
      <c r="D2" s="3" t="s">
        <v>6</v>
      </c>
      <c r="E2" s="2">
        <v>41</v>
      </c>
      <c r="F2" s="8">
        <v>56</v>
      </c>
      <c r="G2" s="20">
        <v>30</v>
      </c>
      <c r="H2" s="10">
        <f>G2/F2</f>
        <v>0.5357142857142857</v>
      </c>
      <c r="I2" s="10">
        <f>F2/E2</f>
        <v>1.3658536585365855</v>
      </c>
      <c r="J2" s="18"/>
    </row>
    <row r="3" spans="1:10" x14ac:dyDescent="0.25">
      <c r="A3" s="3">
        <v>45926</v>
      </c>
      <c r="B3" s="3" t="s">
        <v>32</v>
      </c>
      <c r="C3" s="3" t="s">
        <v>25</v>
      </c>
      <c r="D3" s="3" t="s">
        <v>5</v>
      </c>
      <c r="E3" s="2">
        <v>8</v>
      </c>
      <c r="F3" s="8">
        <v>11</v>
      </c>
      <c r="G3" s="11">
        <v>8</v>
      </c>
      <c r="H3" s="10">
        <f>G3/F3</f>
        <v>0.72727272727272729</v>
      </c>
      <c r="I3" s="6">
        <f>F3/E3</f>
        <v>1.375</v>
      </c>
      <c r="J3" s="2"/>
    </row>
    <row r="4" spans="1:10" x14ac:dyDescent="0.25">
      <c r="A4" s="3">
        <v>45926</v>
      </c>
      <c r="B4" s="3" t="s">
        <v>32</v>
      </c>
      <c r="C4" s="3" t="s">
        <v>30</v>
      </c>
      <c r="D4" s="3" t="s">
        <v>5</v>
      </c>
      <c r="E4" s="2">
        <v>40</v>
      </c>
      <c r="F4" s="8">
        <v>50</v>
      </c>
      <c r="G4" s="11">
        <v>14</v>
      </c>
      <c r="H4" s="10">
        <f>G4/F4</f>
        <v>0.28000000000000003</v>
      </c>
      <c r="I4" s="6">
        <f>F4/E4</f>
        <v>1.25</v>
      </c>
      <c r="J4" s="2"/>
    </row>
    <row r="5" spans="1:10" x14ac:dyDescent="0.25">
      <c r="A5" s="3">
        <v>45927</v>
      </c>
      <c r="B5" s="3" t="s">
        <v>32</v>
      </c>
      <c r="C5" s="3" t="s">
        <v>8</v>
      </c>
      <c r="D5" s="3"/>
      <c r="E5" s="2">
        <v>15</v>
      </c>
      <c r="F5" s="8">
        <v>17</v>
      </c>
      <c r="G5" s="11">
        <v>4.9400000000000004</v>
      </c>
      <c r="H5" s="10">
        <f>G5/F5</f>
        <v>0.29058823529411765</v>
      </c>
      <c r="I5" s="6">
        <f>F5/E5</f>
        <v>1.1333333333333333</v>
      </c>
      <c r="J5" s="2"/>
    </row>
    <row r="6" spans="1:10" x14ac:dyDescent="0.25">
      <c r="A6" s="3">
        <v>45927</v>
      </c>
      <c r="B6" s="3" t="s">
        <v>32</v>
      </c>
      <c r="C6" s="3" t="s">
        <v>4</v>
      </c>
      <c r="D6" s="3" t="s">
        <v>6</v>
      </c>
      <c r="E6" s="2">
        <v>11</v>
      </c>
      <c r="F6" s="8">
        <v>9</v>
      </c>
      <c r="G6" s="11">
        <v>5.13</v>
      </c>
      <c r="H6" s="10">
        <f>G6/F6</f>
        <v>0.56999999999999995</v>
      </c>
      <c r="I6" s="6">
        <f>F6/E6</f>
        <v>0.81818181818181823</v>
      </c>
      <c r="J6" s="2"/>
    </row>
    <row r="7" spans="1:10" x14ac:dyDescent="0.25">
      <c r="A7" s="3">
        <v>45927</v>
      </c>
      <c r="B7" s="3" t="s">
        <v>31</v>
      </c>
      <c r="C7" s="3" t="s">
        <v>3</v>
      </c>
      <c r="D7" s="3" t="s">
        <v>9</v>
      </c>
      <c r="E7" s="2">
        <v>37</v>
      </c>
      <c r="F7" s="8">
        <v>55</v>
      </c>
      <c r="G7" s="11">
        <v>29.78</v>
      </c>
      <c r="H7" s="10">
        <f>G7/F7</f>
        <v>0.54145454545454552</v>
      </c>
      <c r="I7" s="6">
        <f>F7/E7</f>
        <v>1.4864864864864864</v>
      </c>
      <c r="J7" s="17">
        <v>1000</v>
      </c>
    </row>
    <row r="8" spans="1:10" x14ac:dyDescent="0.25">
      <c r="A8" s="3">
        <v>45945</v>
      </c>
      <c r="B8" s="3" t="s">
        <v>31</v>
      </c>
      <c r="C8" s="2" t="s">
        <v>13</v>
      </c>
      <c r="D8" s="2" t="s">
        <v>14</v>
      </c>
      <c r="E8" s="2">
        <v>56</v>
      </c>
      <c r="F8" s="8">
        <v>46.231000000000002</v>
      </c>
      <c r="G8" s="11">
        <v>23.67</v>
      </c>
      <c r="H8" s="10">
        <f>G8/F8</f>
        <v>0.51199411650191429</v>
      </c>
      <c r="I8" s="6">
        <f>F8/E8</f>
        <v>0.82555357142857144</v>
      </c>
      <c r="J8" s="17"/>
    </row>
    <row r="9" spans="1:10" x14ac:dyDescent="0.25">
      <c r="A9" s="3">
        <v>45950</v>
      </c>
      <c r="B9" s="3" t="s">
        <v>31</v>
      </c>
      <c r="C9" s="2" t="s">
        <v>15</v>
      </c>
      <c r="D9" s="2" t="s">
        <v>16</v>
      </c>
      <c r="E9" s="2">
        <v>30</v>
      </c>
      <c r="F9" s="8">
        <v>5.4690000000000003</v>
      </c>
      <c r="G9" s="11">
        <v>2.16</v>
      </c>
      <c r="H9" s="10">
        <f>G9/F9</f>
        <v>0.39495337356006582</v>
      </c>
      <c r="I9" s="6">
        <f>F9/E9</f>
        <v>0.18230000000000002</v>
      </c>
      <c r="J9" s="17"/>
    </row>
    <row r="10" spans="1:10" x14ac:dyDescent="0.25">
      <c r="A10" s="3">
        <v>45957</v>
      </c>
      <c r="B10" s="3" t="s">
        <v>31</v>
      </c>
      <c r="C10" s="2" t="s">
        <v>13</v>
      </c>
      <c r="D10" s="2" t="s">
        <v>14</v>
      </c>
      <c r="E10" s="2">
        <v>60</v>
      </c>
      <c r="F10" s="8">
        <v>50.73</v>
      </c>
      <c r="G10" s="11">
        <v>25.73</v>
      </c>
      <c r="H10" s="10">
        <f>G10/F10</f>
        <v>0.50719495367632572</v>
      </c>
      <c r="I10" s="6">
        <f>F10/E10</f>
        <v>0.84549999999999992</v>
      </c>
      <c r="J10" s="17"/>
    </row>
    <row r="11" spans="1:10" x14ac:dyDescent="0.25">
      <c r="A11" s="3">
        <v>45965</v>
      </c>
      <c r="B11" s="3" t="s">
        <v>31</v>
      </c>
      <c r="C11" s="2" t="s">
        <v>13</v>
      </c>
      <c r="D11" s="2" t="s">
        <v>14</v>
      </c>
      <c r="E11" s="2">
        <v>60</v>
      </c>
      <c r="F11" s="8">
        <v>48.142000000000003</v>
      </c>
      <c r="G11" s="11">
        <v>24.64</v>
      </c>
      <c r="H11" s="10">
        <f>G11/F11</f>
        <v>0.51181920152881055</v>
      </c>
      <c r="I11" s="6">
        <f>F11/E11</f>
        <v>0.80236666666666667</v>
      </c>
      <c r="J11" s="17"/>
    </row>
    <row r="12" spans="1:10" x14ac:dyDescent="0.25">
      <c r="A12" s="3">
        <v>45969</v>
      </c>
      <c r="B12" s="3" t="s">
        <v>31</v>
      </c>
      <c r="C12" s="2" t="s">
        <v>18</v>
      </c>
      <c r="D12" s="2"/>
      <c r="E12" s="2">
        <v>26</v>
      </c>
      <c r="F12" s="8">
        <v>26.582999999999998</v>
      </c>
      <c r="G12" s="11">
        <v>14.2</v>
      </c>
      <c r="H12" s="10">
        <f>G12/F12</f>
        <v>0.53417597712823983</v>
      </c>
      <c r="I12" s="6">
        <f>F12/E12</f>
        <v>1.0224230769230769</v>
      </c>
      <c r="J12" s="17"/>
    </row>
    <row r="13" spans="1:10" x14ac:dyDescent="0.25">
      <c r="A13" s="3">
        <v>45974</v>
      </c>
      <c r="B13" s="3" t="s">
        <v>31</v>
      </c>
      <c r="C13" s="2" t="s">
        <v>3</v>
      </c>
      <c r="D13" s="2"/>
      <c r="E13" s="2">
        <v>17</v>
      </c>
      <c r="F13" s="8">
        <v>26.544</v>
      </c>
      <c r="G13" s="11">
        <v>14.28</v>
      </c>
      <c r="H13" s="10">
        <f>G13/F13</f>
        <v>0.53797468354430378</v>
      </c>
      <c r="I13" s="6">
        <f>F13/E13</f>
        <v>1.5614117647058823</v>
      </c>
      <c r="J13" s="17"/>
    </row>
    <row r="14" spans="1:10" x14ac:dyDescent="0.25">
      <c r="A14" s="3">
        <v>45983</v>
      </c>
      <c r="B14" s="3" t="s">
        <v>31</v>
      </c>
      <c r="C14" s="2" t="s">
        <v>19</v>
      </c>
      <c r="D14" s="2"/>
      <c r="E14" s="2">
        <v>25</v>
      </c>
      <c r="F14" s="8">
        <v>36.076999999999998</v>
      </c>
      <c r="G14" s="11">
        <v>24.82</v>
      </c>
      <c r="H14" s="10">
        <f>G14/F14</f>
        <v>0.68797294675277887</v>
      </c>
      <c r="I14" s="6">
        <f>F14/E14</f>
        <v>1.4430799999999999</v>
      </c>
      <c r="J14" s="17"/>
    </row>
    <row r="15" spans="1:10" x14ac:dyDescent="0.25">
      <c r="A15" s="3">
        <v>45985</v>
      </c>
      <c r="B15" s="3" t="s">
        <v>31</v>
      </c>
      <c r="C15" s="2" t="s">
        <v>20</v>
      </c>
      <c r="D15" s="2" t="s">
        <v>35</v>
      </c>
      <c r="E15" s="2">
        <v>91</v>
      </c>
      <c r="F15" s="8">
        <v>16.861000000000001</v>
      </c>
      <c r="G15" s="11">
        <v>4.66</v>
      </c>
      <c r="H15" s="10">
        <f>G15/F15</f>
        <v>0.27637743906055395</v>
      </c>
      <c r="I15" s="6">
        <f>F15/E15</f>
        <v>0.1852857142857143</v>
      </c>
      <c r="J15" s="17"/>
    </row>
    <row r="16" spans="1:10" x14ac:dyDescent="0.25">
      <c r="A16" s="3">
        <v>45989</v>
      </c>
      <c r="B16" s="3" t="s">
        <v>31</v>
      </c>
      <c r="C16" s="2" t="s">
        <v>15</v>
      </c>
      <c r="D16" s="2" t="s">
        <v>34</v>
      </c>
      <c r="E16" s="2">
        <v>149</v>
      </c>
      <c r="F16" s="8">
        <v>27.640999999999998</v>
      </c>
      <c r="G16" s="11">
        <v>10.94</v>
      </c>
      <c r="H16" s="10">
        <f>G16/F16</f>
        <v>0.39578886436814875</v>
      </c>
      <c r="I16" s="6">
        <f>F16/E16</f>
        <v>0.18551006711409396</v>
      </c>
      <c r="J16" s="17"/>
    </row>
    <row r="17" spans="1:10" x14ac:dyDescent="0.25">
      <c r="A17" s="3">
        <v>45990</v>
      </c>
      <c r="B17" s="3" t="s">
        <v>32</v>
      </c>
      <c r="C17" s="2" t="s">
        <v>21</v>
      </c>
      <c r="D17" s="2">
        <v>150</v>
      </c>
      <c r="E17" s="2">
        <v>18</v>
      </c>
      <c r="F17" s="8">
        <v>24.495000000000001</v>
      </c>
      <c r="G17" s="11">
        <v>14.52</v>
      </c>
      <c r="H17" s="10">
        <f>G17/F17</f>
        <v>0.59277403551745245</v>
      </c>
      <c r="I17" s="6">
        <f>F17/E17</f>
        <v>1.3608333333333333</v>
      </c>
      <c r="J17" s="2"/>
    </row>
    <row r="18" spans="1:10" x14ac:dyDescent="0.25">
      <c r="A18" s="3">
        <v>45990</v>
      </c>
      <c r="B18" s="3" t="s">
        <v>32</v>
      </c>
      <c r="C18" s="2" t="s">
        <v>22</v>
      </c>
      <c r="D18" s="2"/>
      <c r="E18" s="2">
        <v>15</v>
      </c>
      <c r="F18" s="8">
        <v>24.306000000000001</v>
      </c>
      <c r="G18" s="11">
        <v>17.04</v>
      </c>
      <c r="H18" s="10">
        <f>G18/F18</f>
        <v>0.70106146630461608</v>
      </c>
      <c r="I18" s="6">
        <f>F18/E18</f>
        <v>1.6204000000000001</v>
      </c>
      <c r="J18" s="2"/>
    </row>
    <row r="19" spans="1:10" x14ac:dyDescent="0.25">
      <c r="A19" s="3">
        <v>45991</v>
      </c>
      <c r="B19" s="3" t="s">
        <v>31</v>
      </c>
      <c r="C19" s="2" t="s">
        <v>24</v>
      </c>
      <c r="D19" s="2"/>
      <c r="E19" s="2">
        <v>34</v>
      </c>
      <c r="F19" s="8">
        <v>55.017000000000003</v>
      </c>
      <c r="G19" s="11">
        <v>21.56</v>
      </c>
      <c r="H19" s="10">
        <f>G19/F19</f>
        <v>0.3918788738026428</v>
      </c>
      <c r="I19" s="6">
        <f>F19/E19</f>
        <v>1.6181470588235296</v>
      </c>
      <c r="J19" s="17"/>
    </row>
    <row r="20" spans="1:10" x14ac:dyDescent="0.25">
      <c r="A20" s="3">
        <v>45991</v>
      </c>
      <c r="B20" s="3" t="s">
        <v>32</v>
      </c>
      <c r="C20" s="2" t="s">
        <v>23</v>
      </c>
      <c r="D20" s="2">
        <v>300</v>
      </c>
      <c r="E20" s="2">
        <v>61</v>
      </c>
      <c r="F20" s="8">
        <v>44.112000000000002</v>
      </c>
      <c r="G20" s="11">
        <v>30.19</v>
      </c>
      <c r="H20" s="10">
        <f>G20/F20</f>
        <v>0.68439426913311574</v>
      </c>
      <c r="I20" s="6">
        <f>F20/E20</f>
        <v>0.72314754098360656</v>
      </c>
      <c r="J20" s="2"/>
    </row>
    <row r="21" spans="1:10" x14ac:dyDescent="0.25">
      <c r="A21" s="3">
        <v>45991</v>
      </c>
      <c r="B21" s="3" t="s">
        <v>32</v>
      </c>
      <c r="C21" s="2" t="s">
        <v>30</v>
      </c>
      <c r="D21" s="2">
        <v>300</v>
      </c>
      <c r="E21" s="2">
        <v>34</v>
      </c>
      <c r="F21" s="8">
        <v>38.548000000000002</v>
      </c>
      <c r="G21" s="11">
        <v>10.71</v>
      </c>
      <c r="H21" s="10">
        <f>G21/F21</f>
        <v>0.27783542596243643</v>
      </c>
      <c r="I21" s="6">
        <f>F21/E21</f>
        <v>1.133764705882353</v>
      </c>
      <c r="J21" s="2"/>
    </row>
    <row r="22" spans="1:10" x14ac:dyDescent="0.25">
      <c r="A22" s="3">
        <v>45996</v>
      </c>
      <c r="B22" s="3" t="s">
        <v>31</v>
      </c>
      <c r="C22" s="2" t="s">
        <v>19</v>
      </c>
      <c r="D22" s="2"/>
      <c r="E22" s="2">
        <v>35</v>
      </c>
      <c r="F22" s="8">
        <v>27.864999999999998</v>
      </c>
      <c r="G22" s="11">
        <f>15.65+3.13</f>
        <v>18.78</v>
      </c>
      <c r="H22" s="10">
        <f>G22/F22</f>
        <v>0.6739637538130272</v>
      </c>
      <c r="I22" s="6">
        <f>F22/E22</f>
        <v>0.79614285714285715</v>
      </c>
      <c r="J22" s="17"/>
    </row>
    <row r="23" spans="1:10" x14ac:dyDescent="0.25">
      <c r="A23" s="3">
        <v>45998</v>
      </c>
      <c r="B23" s="3" t="s">
        <v>31</v>
      </c>
      <c r="C23" s="2" t="s">
        <v>26</v>
      </c>
      <c r="D23" s="2"/>
      <c r="E23" s="2">
        <v>25</v>
      </c>
      <c r="F23" s="8">
        <v>39.963000000000001</v>
      </c>
      <c r="G23" s="11">
        <f>12.83+2.57</f>
        <v>15.4</v>
      </c>
      <c r="H23" s="10">
        <f>G23/F23</f>
        <v>0.38535645472061658</v>
      </c>
      <c r="I23" s="6">
        <f>F23/E23</f>
        <v>1.5985199999999999</v>
      </c>
      <c r="J23" s="17"/>
    </row>
    <row r="24" spans="1:10" x14ac:dyDescent="0.25">
      <c r="A24" s="3">
        <v>46008</v>
      </c>
      <c r="B24" s="3" t="s">
        <v>31</v>
      </c>
      <c r="C24" s="2" t="s">
        <v>27</v>
      </c>
      <c r="D24" s="2"/>
      <c r="E24" s="2">
        <v>25</v>
      </c>
      <c r="F24" s="8">
        <v>38.563000000000002</v>
      </c>
      <c r="G24" s="11">
        <f>17.3+3.46</f>
        <v>20.76</v>
      </c>
      <c r="H24" s="10">
        <f>G24/F24</f>
        <v>0.5383398594507689</v>
      </c>
      <c r="I24" s="6">
        <f>F24/E24</f>
        <v>1.5425200000000001</v>
      </c>
      <c r="J24" s="17"/>
    </row>
    <row r="25" spans="1:10" x14ac:dyDescent="0.25">
      <c r="A25" s="3">
        <v>46011</v>
      </c>
      <c r="B25" s="3" t="s">
        <v>31</v>
      </c>
      <c r="C25" s="2" t="s">
        <v>28</v>
      </c>
      <c r="D25" s="2"/>
      <c r="E25" s="2">
        <v>60</v>
      </c>
      <c r="F25" s="8">
        <v>24.5</v>
      </c>
      <c r="G25" s="11">
        <f>8.35+1.67</f>
        <v>10.02</v>
      </c>
      <c r="H25" s="10">
        <f>G25/F25</f>
        <v>0.40897959183673466</v>
      </c>
      <c r="I25" s="6">
        <f>F25/E25</f>
        <v>0.40833333333333333</v>
      </c>
      <c r="J25" s="17"/>
    </row>
    <row r="26" spans="1:10" x14ac:dyDescent="0.25">
      <c r="A26" s="3">
        <v>46014</v>
      </c>
      <c r="B26" s="3" t="s">
        <v>31</v>
      </c>
      <c r="C26" s="2" t="s">
        <v>19</v>
      </c>
      <c r="D26" s="2"/>
      <c r="E26" s="2">
        <v>30</v>
      </c>
      <c r="F26" s="8">
        <v>46.552999999999997</v>
      </c>
      <c r="G26" s="11">
        <f>26.28+5.26</f>
        <v>31.54</v>
      </c>
      <c r="H26" s="10">
        <f>G26/F26</f>
        <v>0.67750735720576549</v>
      </c>
      <c r="I26" s="6">
        <f>F26/E26</f>
        <v>1.5517666666666665</v>
      </c>
      <c r="J26" s="17"/>
    </row>
    <row r="27" spans="1:10" x14ac:dyDescent="0.25">
      <c r="A27" s="3">
        <v>46021</v>
      </c>
      <c r="B27" s="3" t="s">
        <v>31</v>
      </c>
      <c r="C27" s="2" t="s">
        <v>29</v>
      </c>
      <c r="D27" s="2"/>
      <c r="E27" s="2">
        <v>35</v>
      </c>
      <c r="F27" s="8">
        <v>57.55</v>
      </c>
      <c r="G27" s="11">
        <f>25.83+5.17</f>
        <v>31</v>
      </c>
      <c r="H27" s="10">
        <f>G27/F27</f>
        <v>0.53866203301476978</v>
      </c>
      <c r="I27" s="6">
        <f>F27/E27</f>
        <v>1.6442857142857141</v>
      </c>
      <c r="J27" s="17"/>
    </row>
    <row r="28" spans="1:10" x14ac:dyDescent="0.25">
      <c r="A28" s="3">
        <v>46021</v>
      </c>
      <c r="B28" s="3" t="s">
        <v>31</v>
      </c>
      <c r="C28" s="2" t="s">
        <v>29</v>
      </c>
      <c r="D28" s="2"/>
      <c r="E28" s="2">
        <v>12</v>
      </c>
      <c r="F28" s="8">
        <v>12.944000000000001</v>
      </c>
      <c r="G28" s="11">
        <f>5.81+1.16</f>
        <v>6.97</v>
      </c>
      <c r="H28" s="10">
        <f>G28/F28</f>
        <v>0.53847342398022247</v>
      </c>
      <c r="I28" s="6">
        <f>F28/E28</f>
        <v>1.0786666666666667</v>
      </c>
      <c r="J28" s="18"/>
    </row>
    <row r="29" spans="1:10" x14ac:dyDescent="0.25">
      <c r="A29" s="3">
        <v>46031</v>
      </c>
      <c r="B29" s="2" t="s">
        <v>31</v>
      </c>
      <c r="C29" s="2" t="s">
        <v>27</v>
      </c>
      <c r="D29" s="2"/>
      <c r="E29" s="2">
        <v>49</v>
      </c>
      <c r="F29" s="8">
        <v>62.343000000000004</v>
      </c>
      <c r="G29" s="11">
        <v>33.58</v>
      </c>
      <c r="H29" s="10">
        <f>G29/F29</f>
        <v>0.53863304621208474</v>
      </c>
      <c r="I29" s="6">
        <f>F29/E29</f>
        <v>1.2723061224489796</v>
      </c>
      <c r="J29" s="17"/>
    </row>
    <row r="30" spans="1:10" x14ac:dyDescent="0.25">
      <c r="A30" s="3">
        <v>46032</v>
      </c>
      <c r="B30" s="2" t="s">
        <v>31</v>
      </c>
      <c r="C30" s="2" t="s">
        <v>36</v>
      </c>
      <c r="D30" s="2"/>
      <c r="E30" s="2">
        <v>15</v>
      </c>
      <c r="F30" s="8">
        <v>10.661</v>
      </c>
      <c r="G30" s="11">
        <v>5.74</v>
      </c>
      <c r="H30" s="10">
        <f>G30/F30</f>
        <v>0.53841103086014452</v>
      </c>
      <c r="I30" s="6">
        <f>F30/E30</f>
        <v>0.71073333333333333</v>
      </c>
      <c r="J30" s="17"/>
    </row>
    <row r="31" spans="1:10" x14ac:dyDescent="0.25">
      <c r="A31" s="3">
        <v>46039</v>
      </c>
      <c r="B31" s="2" t="s">
        <v>31</v>
      </c>
      <c r="C31" s="2" t="s">
        <v>37</v>
      </c>
      <c r="D31" s="2"/>
      <c r="E31" s="2">
        <v>25</v>
      </c>
      <c r="F31" s="8">
        <v>47</v>
      </c>
      <c r="G31" s="11">
        <v>30.83</v>
      </c>
      <c r="H31" s="10">
        <f>G31/F31</f>
        <v>0.65595744680851065</v>
      </c>
      <c r="I31" s="6">
        <f>F31/E31</f>
        <v>1.88</v>
      </c>
      <c r="J31" s="17"/>
    </row>
    <row r="32" spans="1:10" x14ac:dyDescent="0.25">
      <c r="A32" s="3">
        <v>46051</v>
      </c>
      <c r="B32" s="2" t="s">
        <v>31</v>
      </c>
      <c r="C32" s="2" t="s">
        <v>27</v>
      </c>
      <c r="D32" s="2" t="s">
        <v>38</v>
      </c>
      <c r="E32" s="2">
        <v>11</v>
      </c>
      <c r="F32" s="8">
        <v>7.4080000000000004</v>
      </c>
      <c r="G32" s="11">
        <v>3.99</v>
      </c>
      <c r="H32" s="10">
        <f>G32/F32</f>
        <v>0.53860691144708428</v>
      </c>
      <c r="I32" s="6">
        <f>F32/E32</f>
        <v>0.67345454545454553</v>
      </c>
      <c r="J32" s="17"/>
    </row>
    <row r="33" spans="1:10" x14ac:dyDescent="0.25">
      <c r="A33" s="3">
        <v>46052</v>
      </c>
      <c r="B33" s="2" t="s">
        <v>31</v>
      </c>
      <c r="C33" s="2" t="s">
        <v>13</v>
      </c>
      <c r="D33" s="2" t="s">
        <v>14</v>
      </c>
      <c r="E33" s="2">
        <v>70</v>
      </c>
      <c r="F33" s="8">
        <v>58.487000000000002</v>
      </c>
      <c r="G33" s="11">
        <v>29.95</v>
      </c>
      <c r="H33" s="10">
        <f>G33/F33</f>
        <v>0.51207960743413061</v>
      </c>
      <c r="I33" s="6">
        <f>F33/E33</f>
        <v>0.83552857142857151</v>
      </c>
      <c r="J33" s="17"/>
    </row>
    <row r="34" spans="1:10" x14ac:dyDescent="0.25">
      <c r="A34" s="3">
        <v>46062</v>
      </c>
      <c r="B34" s="2" t="s">
        <v>31</v>
      </c>
      <c r="C34" s="2" t="s">
        <v>13</v>
      </c>
      <c r="D34" s="2" t="s">
        <v>14</v>
      </c>
      <c r="E34" s="2">
        <v>66</v>
      </c>
      <c r="F34" s="8">
        <v>55</v>
      </c>
      <c r="G34" s="11">
        <v>28.17</v>
      </c>
      <c r="H34" s="10">
        <f>G34/F34</f>
        <v>0.51218181818181818</v>
      </c>
      <c r="I34" s="6">
        <f>F34/E34</f>
        <v>0.83333333333333337</v>
      </c>
      <c r="J34" s="17">
        <v>6156</v>
      </c>
    </row>
    <row r="35" spans="1:10" x14ac:dyDescent="0.25">
      <c r="A35" s="3">
        <v>46067</v>
      </c>
      <c r="B35" s="2" t="s">
        <v>31</v>
      </c>
      <c r="C35" s="2" t="s">
        <v>40</v>
      </c>
      <c r="D35" s="2"/>
      <c r="E35" s="2">
        <v>18</v>
      </c>
      <c r="F35" s="8">
        <v>32.796999999999997</v>
      </c>
      <c r="G35" s="11">
        <v>19.350000000000001</v>
      </c>
      <c r="H35" s="10">
        <f>G35/F35</f>
        <v>0.58999298716346016</v>
      </c>
      <c r="I35" s="6">
        <f>F35/E35</f>
        <v>1.8220555555555553</v>
      </c>
      <c r="J35" s="17"/>
    </row>
    <row r="36" spans="1:10" x14ac:dyDescent="0.25">
      <c r="A36" s="3">
        <v>46068</v>
      </c>
      <c r="B36" s="2" t="s">
        <v>31</v>
      </c>
      <c r="C36" s="2" t="s">
        <v>41</v>
      </c>
      <c r="D36" s="2"/>
      <c r="E36" s="2">
        <v>8</v>
      </c>
      <c r="F36" s="8">
        <v>1.56</v>
      </c>
      <c r="G36" s="11">
        <v>0.64</v>
      </c>
      <c r="H36" s="10">
        <f>G36/F36</f>
        <v>0.41025641025641024</v>
      </c>
      <c r="I36" s="6">
        <f>F36/E36</f>
        <v>0.19500000000000001</v>
      </c>
      <c r="J36" s="17"/>
    </row>
    <row r="37" spans="1:10" x14ac:dyDescent="0.25">
      <c r="A37" s="3">
        <v>46068</v>
      </c>
      <c r="B37" s="2" t="s">
        <v>31</v>
      </c>
      <c r="C37" s="2" t="s">
        <v>42</v>
      </c>
      <c r="D37" s="2"/>
      <c r="E37" s="2">
        <v>20</v>
      </c>
      <c r="F37" s="8">
        <v>36.036000000000001</v>
      </c>
      <c r="G37" s="11">
        <v>14.25</v>
      </c>
      <c r="H37" s="10">
        <f>G37/F37</f>
        <v>0.39543789543789543</v>
      </c>
      <c r="I37" s="6">
        <f>F37/E37</f>
        <v>1.8018000000000001</v>
      </c>
      <c r="J37" s="17"/>
    </row>
    <row r="38" spans="1:10" x14ac:dyDescent="0.25">
      <c r="A38" s="3">
        <v>46071</v>
      </c>
      <c r="B38" s="2" t="s">
        <v>31</v>
      </c>
      <c r="C38" s="2" t="s">
        <v>13</v>
      </c>
      <c r="D38" s="2"/>
      <c r="E38" s="2">
        <v>70</v>
      </c>
      <c r="F38" s="8">
        <v>58.494999999999997</v>
      </c>
      <c r="G38" s="11">
        <v>29.96</v>
      </c>
      <c r="H38" s="10">
        <f>G38/F38</f>
        <v>0.51218052825027782</v>
      </c>
      <c r="I38" s="6">
        <f>F38/E38</f>
        <v>0.83564285714285713</v>
      </c>
      <c r="J38" s="17"/>
    </row>
    <row r="39" spans="1:10" x14ac:dyDescent="0.25">
      <c r="A39" s="3">
        <v>46073</v>
      </c>
      <c r="B39" s="2" t="s">
        <v>31</v>
      </c>
      <c r="C39" s="2" t="s">
        <v>27</v>
      </c>
      <c r="D39" s="2"/>
      <c r="E39" s="2">
        <v>17</v>
      </c>
      <c r="F39" s="8">
        <v>12.941000000000001</v>
      </c>
      <c r="G39" s="11">
        <v>6.97</v>
      </c>
      <c r="H39" s="10">
        <f>G39/F39</f>
        <v>0.5385982536125492</v>
      </c>
      <c r="I39" s="6">
        <f>F39/E39</f>
        <v>0.76123529411764712</v>
      </c>
      <c r="J39" s="17"/>
    </row>
    <row r="40" spans="1:10" x14ac:dyDescent="0.25">
      <c r="A40" s="3">
        <v>46076</v>
      </c>
      <c r="B40" s="2" t="s">
        <v>31</v>
      </c>
      <c r="C40" s="2" t="s">
        <v>43</v>
      </c>
      <c r="D40" s="2"/>
      <c r="E40" s="2">
        <v>21</v>
      </c>
      <c r="F40" s="8">
        <v>23.794</v>
      </c>
      <c r="G40" s="11">
        <v>12.81</v>
      </c>
      <c r="H40" s="10">
        <f>G40/F40</f>
        <v>0.53837101790367325</v>
      </c>
      <c r="I40" s="6">
        <f>F40/E40</f>
        <v>1.1330476190476191</v>
      </c>
      <c r="J40" s="17"/>
    </row>
    <row r="41" spans="1:10" x14ac:dyDescent="0.25">
      <c r="A41" s="3">
        <v>46081</v>
      </c>
      <c r="B41" s="2" t="s">
        <v>31</v>
      </c>
      <c r="C41" s="2" t="s">
        <v>19</v>
      </c>
      <c r="D41" s="2"/>
      <c r="E41" s="2">
        <v>19</v>
      </c>
      <c r="F41" s="8">
        <v>29.65</v>
      </c>
      <c r="G41" s="11">
        <v>20.13</v>
      </c>
      <c r="H41" s="10">
        <f>G41/F41</f>
        <v>0.67892074198988195</v>
      </c>
      <c r="I41" s="6">
        <f>F41/E41</f>
        <v>1.5605263157894735</v>
      </c>
      <c r="J41" s="17"/>
    </row>
    <row r="42" spans="1:10" x14ac:dyDescent="0.25">
      <c r="A42" s="3">
        <v>46081</v>
      </c>
      <c r="B42" s="2" t="s">
        <v>31</v>
      </c>
      <c r="C42" s="2" t="s">
        <v>37</v>
      </c>
      <c r="D42" s="2"/>
      <c r="E42" s="2">
        <v>23</v>
      </c>
      <c r="F42" s="8">
        <v>19</v>
      </c>
      <c r="G42" s="11">
        <v>10.24</v>
      </c>
      <c r="H42" s="10">
        <f>G42/F42</f>
        <v>0.53894736842105262</v>
      </c>
      <c r="I42" s="6">
        <f>F42/E42</f>
        <v>0.82608695652173914</v>
      </c>
      <c r="J42" s="17"/>
    </row>
    <row r="43" spans="1:10" x14ac:dyDescent="0.25">
      <c r="A43" s="3">
        <v>46088</v>
      </c>
      <c r="B43" s="2" t="s">
        <v>31</v>
      </c>
      <c r="C43" s="2" t="s">
        <v>44</v>
      </c>
      <c r="D43" s="2"/>
      <c r="E43" s="2">
        <v>30</v>
      </c>
      <c r="F43" s="8">
        <v>55.771000000000001</v>
      </c>
      <c r="G43" s="11">
        <v>33.04</v>
      </c>
      <c r="H43" s="10">
        <f>G43/F43</f>
        <v>0.59242258521453794</v>
      </c>
      <c r="I43" s="6">
        <f>F43/E43</f>
        <v>1.8590333333333333</v>
      </c>
      <c r="J43" s="17"/>
    </row>
    <row r="44" spans="1:10" x14ac:dyDescent="0.25">
      <c r="A44" s="3">
        <v>46098</v>
      </c>
      <c r="B44" s="2" t="s">
        <v>31</v>
      </c>
      <c r="C44" s="2" t="s">
        <v>13</v>
      </c>
      <c r="D44" s="2"/>
      <c r="E44" s="2">
        <v>69</v>
      </c>
      <c r="F44" s="8">
        <v>57.646999999999998</v>
      </c>
      <c r="G44" s="11">
        <v>27.01</v>
      </c>
      <c r="H44" s="10">
        <f>G44/F44</f>
        <v>0.46854129442989234</v>
      </c>
      <c r="I44" s="6">
        <f>F44/E44</f>
        <v>0.83546376811594203</v>
      </c>
      <c r="J44" s="17"/>
    </row>
    <row r="45" spans="1:10" x14ac:dyDescent="0.25">
      <c r="A45" s="3">
        <v>46101</v>
      </c>
      <c r="B45" s="2" t="s">
        <v>31</v>
      </c>
      <c r="C45" s="2" t="s">
        <v>19</v>
      </c>
      <c r="D45" s="2"/>
      <c r="E45" s="2">
        <v>24</v>
      </c>
      <c r="F45" s="8">
        <v>27.074000000000002</v>
      </c>
      <c r="G45" s="11">
        <v>18.79</v>
      </c>
      <c r="H45" s="10">
        <f>G45/F45</f>
        <v>0.69402378665878695</v>
      </c>
      <c r="I45" s="6">
        <f>F45/E45</f>
        <v>1.1280833333333333</v>
      </c>
      <c r="J45" s="17"/>
    </row>
    <row r="46" spans="1:10" x14ac:dyDescent="0.25">
      <c r="A46" s="3">
        <v>46108</v>
      </c>
      <c r="B46" s="2" t="s">
        <v>31</v>
      </c>
      <c r="C46" s="2" t="s">
        <v>27</v>
      </c>
      <c r="D46" s="2"/>
      <c r="E46" s="2">
        <v>41</v>
      </c>
      <c r="F46" s="8">
        <v>43.136000000000003</v>
      </c>
      <c r="G46" s="11">
        <v>23.23</v>
      </c>
      <c r="H46" s="10">
        <f>G46/F46</f>
        <v>0.53852930267062316</v>
      </c>
      <c r="I46" s="6">
        <f>F46/E46</f>
        <v>1.0520975609756098</v>
      </c>
      <c r="J46" s="17"/>
    </row>
    <row r="47" spans="1:10" x14ac:dyDescent="0.25">
      <c r="A47" s="3">
        <v>46109</v>
      </c>
      <c r="B47" s="2" t="s">
        <v>32</v>
      </c>
      <c r="C47" s="2" t="s">
        <v>45</v>
      </c>
      <c r="D47" s="2"/>
      <c r="E47" s="2">
        <v>8</v>
      </c>
      <c r="F47" s="8">
        <v>3.0209999999999999</v>
      </c>
      <c r="G47" s="11">
        <v>2.27</v>
      </c>
      <c r="H47" s="10">
        <f>G47/F47</f>
        <v>0.75140681893412775</v>
      </c>
      <c r="I47" s="6">
        <f>F47/E47</f>
        <v>0.37762499999999999</v>
      </c>
      <c r="J47" s="17"/>
    </row>
    <row r="48" spans="1:10" x14ac:dyDescent="0.25">
      <c r="A48" s="3">
        <v>46109</v>
      </c>
      <c r="B48" s="2" t="s">
        <v>32</v>
      </c>
      <c r="C48" s="2" t="s">
        <v>46</v>
      </c>
      <c r="D48" s="2"/>
      <c r="E48" s="2">
        <v>19</v>
      </c>
      <c r="F48" s="8">
        <v>40.106000000000002</v>
      </c>
      <c r="G48" s="11">
        <v>27.96</v>
      </c>
      <c r="H48" s="10">
        <f>G48/F48</f>
        <v>0.69715254575375252</v>
      </c>
      <c r="I48" s="6">
        <f>F48/E48</f>
        <v>2.1108421052631581</v>
      </c>
      <c r="J48" s="17"/>
    </row>
    <row r="49" spans="1:10" x14ac:dyDescent="0.25">
      <c r="A49" s="3">
        <v>46111</v>
      </c>
      <c r="B49" s="2" t="s">
        <v>47</v>
      </c>
      <c r="C49" s="2" t="s">
        <v>48</v>
      </c>
      <c r="D49" s="2"/>
      <c r="E49" s="2">
        <v>40</v>
      </c>
      <c r="F49" s="8">
        <v>69.867000000000004</v>
      </c>
      <c r="G49" s="11">
        <v>50.05</v>
      </c>
      <c r="H49" s="10">
        <f>G49/F49</f>
        <v>0.71636108606352056</v>
      </c>
      <c r="I49" s="6">
        <f>F49/E49</f>
        <v>1.7466750000000002</v>
      </c>
      <c r="J49" s="17"/>
    </row>
    <row r="50" spans="1:10" x14ac:dyDescent="0.25">
      <c r="A50" s="3">
        <v>46111</v>
      </c>
      <c r="B50" s="2" t="s">
        <v>47</v>
      </c>
      <c r="C50" s="2" t="s">
        <v>49</v>
      </c>
      <c r="D50" s="2"/>
      <c r="E50" s="2">
        <v>33</v>
      </c>
      <c r="F50" s="8">
        <v>40.052999999999997</v>
      </c>
      <c r="G50" s="11">
        <v>29.05</v>
      </c>
      <c r="H50" s="10">
        <f>G50/F50</f>
        <v>0.72528899208548681</v>
      </c>
      <c r="I50" s="6">
        <f>F50/E50</f>
        <v>1.2137272727272725</v>
      </c>
      <c r="J50" s="17"/>
    </row>
    <row r="51" spans="1:10" x14ac:dyDescent="0.25">
      <c r="A51" s="3">
        <v>46111</v>
      </c>
      <c r="B51" s="2" t="s">
        <v>47</v>
      </c>
      <c r="C51" s="2" t="s">
        <v>50</v>
      </c>
      <c r="D51" s="2"/>
      <c r="E51" s="2">
        <v>28</v>
      </c>
      <c r="F51" s="8">
        <v>29.576000000000001</v>
      </c>
      <c r="G51" s="11">
        <v>19.52</v>
      </c>
      <c r="H51" s="10">
        <f>G51/F51</f>
        <v>0.659994590208277</v>
      </c>
      <c r="I51" s="6">
        <f>F51/E51</f>
        <v>1.0562857142857143</v>
      </c>
      <c r="J51" s="17"/>
    </row>
    <row r="52" spans="1:10" x14ac:dyDescent="0.25">
      <c r="A52" s="3">
        <v>46111</v>
      </c>
      <c r="B52" s="2" t="s">
        <v>47</v>
      </c>
      <c r="C52" s="2" t="s">
        <v>51</v>
      </c>
      <c r="D52" s="2"/>
      <c r="E52" s="2">
        <v>37</v>
      </c>
      <c r="F52" s="8">
        <v>58.7</v>
      </c>
      <c r="G52" s="11">
        <v>34.81</v>
      </c>
      <c r="H52" s="10">
        <f>G52/F52</f>
        <v>0.59301533219761504</v>
      </c>
      <c r="I52" s="6">
        <f>F52/E52</f>
        <v>1.5864864864864865</v>
      </c>
      <c r="J52" s="17"/>
    </row>
    <row r="53" spans="1:10" x14ac:dyDescent="0.25">
      <c r="A53" s="3">
        <v>46112</v>
      </c>
      <c r="B53" s="2" t="s">
        <v>31</v>
      </c>
      <c r="C53" s="2" t="s">
        <v>19</v>
      </c>
      <c r="D53" s="2"/>
      <c r="E53" s="2">
        <v>40</v>
      </c>
      <c r="F53" s="8">
        <v>68.465999999999994</v>
      </c>
      <c r="G53" s="11">
        <v>44.89</v>
      </c>
      <c r="H53" s="10">
        <f>G53/F53</f>
        <v>0.65565390120643829</v>
      </c>
      <c r="I53" s="6">
        <f>F53/E53</f>
        <v>1.7116499999999999</v>
      </c>
      <c r="J53" s="17"/>
    </row>
    <row r="54" spans="1:10" x14ac:dyDescent="0.25">
      <c r="A54" s="3">
        <v>46114</v>
      </c>
      <c r="B54" s="2" t="s">
        <v>31</v>
      </c>
      <c r="C54" s="3" t="s">
        <v>27</v>
      </c>
      <c r="D54" s="2"/>
      <c r="E54" s="2">
        <v>16</v>
      </c>
      <c r="F54" s="8">
        <v>18.623999999999999</v>
      </c>
      <c r="G54" s="11">
        <v>10.029999999999999</v>
      </c>
      <c r="H54" s="10">
        <f>G54/F54</f>
        <v>0.53855240549828176</v>
      </c>
      <c r="I54" s="6">
        <f>F54/E54</f>
        <v>1.1639999999999999</v>
      </c>
      <c r="J54" s="17"/>
    </row>
    <row r="55" spans="1:10" x14ac:dyDescent="0.25">
      <c r="A55" s="3"/>
      <c r="B55" s="2"/>
      <c r="C55" s="2"/>
      <c r="D55" s="2"/>
      <c r="E55" s="2"/>
      <c r="F55" s="8"/>
      <c r="G55" s="11"/>
      <c r="H55" s="10"/>
      <c r="I55" s="6"/>
      <c r="J55" s="17"/>
    </row>
    <row r="56" spans="1:10" x14ac:dyDescent="0.25">
      <c r="A56" s="3"/>
      <c r="B56" s="2"/>
      <c r="C56" s="2"/>
      <c r="D56" s="2"/>
      <c r="E56" s="2"/>
      <c r="F56" s="8"/>
      <c r="G56" s="11"/>
      <c r="H56" s="10"/>
      <c r="I56" s="6"/>
      <c r="J56" s="17"/>
    </row>
    <row r="57" spans="1:10" x14ac:dyDescent="0.25">
      <c r="A57" s="3"/>
      <c r="B57" s="2"/>
      <c r="C57" s="2"/>
      <c r="D57" s="2"/>
      <c r="E57" s="2"/>
      <c r="F57" s="8"/>
      <c r="G57" s="11"/>
      <c r="H57" s="10"/>
      <c r="I57" s="6"/>
      <c r="J57" s="17"/>
    </row>
    <row r="58" spans="1:10" x14ac:dyDescent="0.25">
      <c r="A58" s="2"/>
      <c r="B58" s="2"/>
      <c r="C58" s="2"/>
      <c r="D58" s="2"/>
      <c r="E58" s="12" t="e">
        <f>AVERAGE(E59:E60)</f>
        <v>#DIV/0!</v>
      </c>
      <c r="F58" s="14" t="e">
        <f>AVERAGE(F59:F60)</f>
        <v>#DIV/0!</v>
      </c>
      <c r="G58" s="21">
        <f>SUM(G59:G80)</f>
        <v>0</v>
      </c>
      <c r="H58" s="13" t="e">
        <f>AVERAGE(H59:H91)</f>
        <v>#DIV/0!</v>
      </c>
      <c r="I58" s="12" t="e">
        <f>AVERAGE(I59:I60)</f>
        <v>#DIV/0!</v>
      </c>
      <c r="J58" s="12"/>
    </row>
  </sheetData>
  <autoFilter ref="A1:J58" xr:uid="{AAA5F25A-8661-4E6E-B62A-5B84C2FF51AB}">
    <sortState xmlns:xlrd2="http://schemas.microsoft.com/office/spreadsheetml/2017/richdata2" ref="A2:J58">
      <sortCondition ref="A1:A58"/>
    </sortState>
  </autoFilter>
  <conditionalFormatting sqref="H3:H58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1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I3:I58">
    <cfRule type="colorScale" priority="13">
      <colorScale>
        <cfvo type="min"/>
        <cfvo type="percentile" val="50"/>
        <cfvo type="max"/>
        <color theme="9" tint="0.59999389629810485"/>
        <color rgb="FFFFEB84"/>
        <color theme="5" tint="0.39997558519241921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Cocq, Audrey  FR-AI</dc:creator>
  <cp:lastModifiedBy>Cocq, Audrey  FR-AI</cp:lastModifiedBy>
  <dcterms:created xsi:type="dcterms:W3CDTF">2025-09-29T12:20:07Z</dcterms:created>
  <dcterms:modified xsi:type="dcterms:W3CDTF">2026-04-04T09:33:47Z</dcterms:modified>
</cp:coreProperties>
</file>